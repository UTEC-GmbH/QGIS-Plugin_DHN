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fl\Documents\Python\QGIS-Plugin_DHN\resources\templates\"/>
    </mc:Choice>
  </mc:AlternateContent>
  <xr:revisionPtr revIDLastSave="0" documentId="13_ncr:1_{040BDA5D-EA2F-4EE6-9337-61EAB9750DE8}" xr6:coauthVersionLast="47" xr6:coauthVersionMax="47" xr10:uidLastSave="{00000000-0000-0000-0000-000000000000}"/>
  <bookViews>
    <workbookView xWindow="1104" yWindow="900" windowWidth="28236" windowHeight="15348" xr2:uid="{00000000-000D-0000-FFFF-FFFF00000000}"/>
  </bookViews>
  <sheets>
    <sheet name="Zusammenfassung" sheetId="1" r:id="rId1"/>
    <sheet name="Formteile" sheetId="4" r:id="rId2"/>
    <sheet name="Leitungstrassen" sheetId="6" r:id="rId3"/>
  </sheets>
  <definedNames>
    <definedName name="_xlcn.WorksheetConnection_UTEC_Massenermittlung_Zusammenfassung.xlsxData1" hidden="1">Formteile[]</definedName>
    <definedName name="_xlcn.WorksheetConnection_UTEC_Massenermittlung_Zusammenfassung.xlsxLeitungstrassen1" hidden="1">Leitungstrassen[]</definedName>
    <definedName name="Datenschnitt_Typ">#N/A</definedName>
    <definedName name="ExterneDaten_1" localSheetId="1" hidden="1">Formteile!$A$1:$J$6</definedName>
    <definedName name="ExterneDaten_1" localSheetId="2" hidden="1">Leitungstrassen!$A$1:$H$3</definedName>
    <definedName name="Pfadinfo">Zusammenfassung!$C$1</definedName>
  </definedNames>
  <calcPr calcId="191029"/>
  <pivotCaches>
    <pivotCache cacheId="6" r:id="rId4"/>
    <pivotCache cacheId="9" r:id="rId5"/>
  </pivotCaches>
  <extLst>
    <ext xmlns:x14="http://schemas.microsoft.com/office/spreadsheetml/2009/9/main" uri="{876F7934-8845-4945-9796-88D515C7AA90}">
      <x14:pivotCaches>
        <pivotCache cacheId="5" r:id="rId6"/>
      </x14:pivotCaches>
    </ex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Leitungstrassen" name="Leitungstrassen" connection="WorksheetConnection_UTEC_Massenermittlung_Zusammenfassung.xlsx!Leitungstrassen"/>
          <x15:modelTable id="Data" name="Formteile" connection="WorksheetConnection_UTEC_Massenermittlung_Zusammenfassung.xlsx!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 i="1" l="1" a="1"/>
  <c r="C1"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312A92-45DB-4709-AD11-529AD7ADEA8E}" keepAlive="1" name="Abfrage - Formteile" description="Verbindung mit der Abfrage 'Formteile' in der Arbeitsmappe." type="5" refreshedVersion="8" refreshOnLoad="1" saveData="1">
    <dbPr connection="Provider=Microsoft.Mashup.OleDb.1;Data Source=$Workbook$;Location=Formteile;Extended Properties=&quot;&quot;" command="SELECT * FROM [Formteile]"/>
  </connection>
  <connection id="2" xr16:uid="{88BCF8F4-EA0A-4966-9309-64C1E431C69F}" keepAlive="1" name="Abfrage - Leitungstrassen" description="Verbindung mit der Abfrage 'Leitungstrassen' in der Arbeitsmappe." type="5" refreshedVersion="8" refreshOnLoad="1" saveData="1">
    <dbPr connection="Provider=Microsoft.Mashup.OleDb.1;Data Source=$Workbook$;Location=Leitungstrassen;Extended Properties=&quot;&quot;" command="SELECT * FROM [Leitungstrassen]"/>
  </connection>
  <connection id="3" xr16:uid="{1AB0C605-835B-4B7D-9565-4E56E176918D}" keepAlive="1" name="ThisWorkbookDataModel" description="Datenmodel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2CD94945-42FD-4AE6-9216-56F1D3CC7BF0}" name="WorksheetConnection_UTEC_Massenermittlung_Zusammenfassung.xlsx!Data" type="102" refreshedVersion="8" minRefreshableVersion="5">
    <extLst>
      <ext xmlns:x15="http://schemas.microsoft.com/office/spreadsheetml/2010/11/main" uri="{DE250136-89BD-433C-8126-D09CA5730AF9}">
        <x15:connection id="Data">
          <x15:rangePr sourceName="_xlcn.WorksheetConnection_UTEC_Massenermittlung_Zusammenfassung.xlsxData1"/>
        </x15:connection>
      </ext>
    </extLst>
  </connection>
  <connection id="5" xr16:uid="{16E925D2-C00D-4437-BC83-F0DFADF5C6BB}" name="WorksheetConnection_UTEC_Massenermittlung_Zusammenfassung.xlsx!Leitungstrassen" type="102" refreshedVersion="8" minRefreshableVersion="5">
    <extLst>
      <ext xmlns:x15="http://schemas.microsoft.com/office/spreadsheetml/2010/11/main" uri="{DE250136-89BD-433C-8126-D09CA5730AF9}">
        <x15:connection id="Leitungstrassen">
          <x15:rangePr sourceName="_xlcn.WorksheetConnection_UTEC_Massenermittlung_Zusammenfassung.xlsxLeitungstrassen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<sst xmlns="http://schemas.openxmlformats.org/spreadsheetml/2006/main" count="57" uniqueCount="40">
  <si>
    <t>fid</t>
  </si>
  <si>
    <t>Typ</t>
  </si>
  <si>
    <t>Dimension 1</t>
  </si>
  <si>
    <t>Dimension 2</t>
  </si>
  <si>
    <t>Bogen-Winkel</t>
  </si>
  <si>
    <t>Verbundene Leitungen</t>
  </si>
  <si>
    <t>Anmerkungen</t>
  </si>
  <si>
    <t>Fragwürdiger Punkt</t>
  </si>
  <si>
    <t>7 / 12 / 13</t>
  </si>
  <si>
    <t>Schnittpunkt ohne Verbindung - die Linien müssen mit Endpunkten verbunden werden.</t>
  </si>
  <si>
    <t>Hausanschluss</t>
  </si>
  <si>
    <t>Bogen</t>
  </si>
  <si>
    <t>T-Stück</t>
  </si>
  <si>
    <t>Reduzierung</t>
  </si>
  <si>
    <t>Bezeichnung</t>
  </si>
  <si>
    <t>Anzahl</t>
  </si>
  <si>
    <t>Sortierung</t>
  </si>
  <si>
    <t>DN 32 / DN 20</t>
  </si>
  <si>
    <t>Formteile</t>
  </si>
  <si>
    <t>Gesamtergebnis</t>
  </si>
  <si>
    <t>Trassenlänge</t>
  </si>
  <si>
    <t>Leitungstrassen</t>
  </si>
  <si>
    <t>Länge</t>
  </si>
  <si>
    <t>Leistung</t>
  </si>
  <si>
    <t>613</t>
  </si>
  <si>
    <t>DN 25</t>
  </si>
  <si>
    <t>Bogen in Anschlussleitung (Anschluss nicht im 90° Winkel)</t>
  </si>
  <si>
    <t>DN 25 / 0° - 45°</t>
  </si>
  <si>
    <t>597 / 608 / 613</t>
  </si>
  <si>
    <t>Hauptleitung: 608 (DN80) &amp; 597 (DN80)</t>
  </si>
  <si>
    <t>DN 80 / DN 25</t>
  </si>
  <si>
    <t>633</t>
  </si>
  <si>
    <t>Reduzierung von DN40 auf DN32</t>
  </si>
  <si>
    <t>DN 40 / DN 32</t>
  </si>
  <si>
    <t>Original ID</t>
  </si>
  <si>
    <t>Original Leistung</t>
  </si>
  <si>
    <t>Anschlussleitung</t>
  </si>
  <si>
    <t>Hauptleitung</t>
  </si>
  <si>
    <t>DN 80</t>
  </si>
  <si>
    <t>Original Dimension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</si>
</sst>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quot;m&quot;"/>
  </numFmts>
  <fonts count="5" x14ac:knownFonts="1">
    <font>
      <sz val="11"/>
      <color theme="1"/>
      <name val="Calibri"/>
      <family val="2"/>
      <scheme val="minor"/>
    </font>
    <font>
      <sz val="11"/>
      <color theme="1"/>
      <name val="Arial"/>
      <family val="2"/>
    </font>
    <font>
      <sz val="8"/>
      <name val="Calibri"/>
      <family val="2"/>
      <scheme val="minor"/>
    </font>
    <font>
      <i/>
      <sz val="9"/>
      <color rgb="FF808080"/>
      <name val="Arial"/>
      <family val="2"/>
    </font>
    <font>
      <sz val="11"/>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0" fillId="0" borderId="0" xfId="0" applyNumberFormat="1"/>
    <xf numFmtId="0" fontId="3" fillId="0" borderId="0" xfId="0" applyFont="1"/>
    <xf numFmtId="0" fontId="4" fillId="0" borderId="0" xfId="0" pivotButton="1" applyFont="1"/>
    <xf numFmtId="0" fontId="4" fillId="0" borderId="0" xfId="0" applyFont="1"/>
    <xf numFmtId="0" fontId="4" fillId="0" borderId="0" xfId="0" applyFont="1" applyAlignment="1">
      <alignment horizontal="left"/>
    </xf>
    <xf numFmtId="0" fontId="4" fillId="0" borderId="0" xfId="0" applyNumberFormat="1" applyFont="1"/>
    <xf numFmtId="0" fontId="4" fillId="0" borderId="0" xfId="0" applyFont="1" applyAlignment="1">
      <alignment horizontal="left" indent="1"/>
    </xf>
    <xf numFmtId="0" fontId="4" fillId="0" borderId="0" xfId="0" applyFont="1" applyAlignment="1">
      <alignment horizontal="right"/>
    </xf>
    <xf numFmtId="164" fontId="4" fillId="0" borderId="0" xfId="0" applyNumberFormat="1" applyFont="1"/>
  </cellXfs>
  <cellStyles count="1">
    <cellStyle name="Standard" xfId="0" builtinId="0"/>
  </cellStyles>
  <dxfs count="31">
    <dxf>
      <alignment horizontal="right"/>
    </dxf>
    <dxf>
      <font>
        <name val="Arial"/>
        <scheme val="none"/>
      </font>
    </dxf>
    <dxf>
      <font>
        <name val="Arial"/>
        <scheme val="none"/>
      </font>
    </dxf>
    <dxf>
      <font>
        <name val="Arial"/>
        <scheme val="none"/>
      </font>
    </dxf>
    <dxf>
      <font>
        <name val="Arial"/>
        <scheme val="none"/>
      </font>
    </dxf>
    <dxf>
      <numFmt numFmtId="164" formatCode="#,##0\ &quot;m&quo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0" formatCode="General"/>
    </dxf>
    <dxf>
      <numFmt numFmtId="0" formatCode="General"/>
    </dxf>
    <dxf>
      <numFmt numFmtId="0" formatCode="General"/>
    </dxf>
    <dxf>
      <numFmt numFmtId="164" formatCode="#,##0\ &quot;m&quot;"/>
    </dxf>
    <dxf>
      <font>
        <name val="Arial"/>
        <scheme val="none"/>
      </font>
    </dxf>
    <dxf>
      <font>
        <name val="Arial"/>
        <scheme val="none"/>
      </font>
    </dxf>
    <dxf>
      <font>
        <name val="Arial"/>
        <scheme val="none"/>
      </font>
    </dxf>
    <dxf>
      <font>
        <name val="Arial"/>
        <scheme val="none"/>
      </font>
    </dxf>
    <dxf>
      <alignment horizontal="righ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1.xml"/><Relationship Id="rId12" Type="http://schemas.openxmlformats.org/officeDocument/2006/relationships/sheetMetadata" Target="metadata.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haredStrings" Target="sharedStrings.xml"/><Relationship Id="rId24" Type="http://schemas.openxmlformats.org/officeDocument/2006/relationships/customXml" Target="../customXml/item10.xml"/><Relationship Id="rId32" Type="http://schemas.openxmlformats.org/officeDocument/2006/relationships/customXml" Target="../customXml/item18.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styles" Target="styles.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drawings/drawing1.xml><?xml version="1.0" encoding="utf-8"?>
<xdr:wsDr xmlns:xdr="http://schemas.openxmlformats.org/drawingml/2006/spreadsheetDrawing" xmlns:a="http://schemas.openxmlformats.org/drawingml/2006/main">
  <xdr:twoCellAnchor editAs="oneCell">
    <xdr:from>
      <xdr:col>0</xdr:col>
      <xdr:colOff>99060</xdr:colOff>
      <xdr:row>4</xdr:row>
      <xdr:rowOff>1</xdr:rowOff>
    </xdr:from>
    <xdr:to>
      <xdr:col>3</xdr:col>
      <xdr:colOff>655320</xdr:colOff>
      <xdr:row>13</xdr:row>
      <xdr:rowOff>53341</xdr:rowOff>
    </xdr:to>
    <mc:AlternateContent xmlns:mc="http://schemas.openxmlformats.org/markup-compatibility/2006" xmlns:a14="http://schemas.microsoft.com/office/drawing/2010/main">
      <mc:Choice Requires="a14">
        <xdr:graphicFrame macro="">
          <xdr:nvGraphicFramePr>
            <xdr:cNvPr id="2" name="Typ">
              <a:extLst>
                <a:ext uri="{FF2B5EF4-FFF2-40B4-BE49-F238E27FC236}">
                  <a16:creationId xmlns:a16="http://schemas.microsoft.com/office/drawing/2014/main" id="{5F5C9E82-DE2D-57CF-063C-7DE32FAF76A9}"/>
                </a:ext>
              </a:extLst>
            </xdr:cNvPr>
            <xdr:cNvGraphicFramePr/>
          </xdr:nvGraphicFramePr>
          <xdr:xfrm>
            <a:off x="0" y="0"/>
            <a:ext cx="0" cy="0"/>
          </xdr:xfrm>
          <a:graphic>
            <a:graphicData uri="http://schemas.microsoft.com/office/drawing/2010/slicer">
              <sle:slicer xmlns:sle="http://schemas.microsoft.com/office/drawing/2010/slicer" name="Typ"/>
            </a:graphicData>
          </a:graphic>
        </xdr:graphicFrame>
      </mc:Choice>
      <mc:Fallback xmlns="">
        <xdr:sp macro="" textlink="">
          <xdr:nvSpPr>
            <xdr:cNvPr id="0" name=""/>
            <xdr:cNvSpPr>
              <a:spLocks noTextEdit="1"/>
            </xdr:cNvSpPr>
          </xdr:nvSpPr>
          <xdr:spPr>
            <a:xfrm>
              <a:off x="99060" y="708660"/>
              <a:ext cx="1706880" cy="246697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Florian Ludwig" refreshedDate="46063.529826736114" createdVersion="5" refreshedVersion="8" minRefreshableVersion="3" recordCount="0" supportSubquery="1" supportAdvancedDrill="1" xr:uid="{47B38EEE-2644-46E2-8657-27AD69EB2FD2}">
  <cacheSource type="external" connectionId="3"/>
  <cacheFields count="3">
    <cacheField name="[Formteile].[Bezeichnung].[Bezeichnung]" caption="Bezeichnung" numFmtId="0" hierarchy="8" level="1">
      <sharedItems count="5">
        <s v="DN 25 / 0° - 45°"/>
        <s v="DN 25"/>
        <s v="DN 40 / DN 32"/>
        <s v="DN 80 / DN 25"/>
        <s v="DN 32 / DN 20" u="1"/>
      </sharedItems>
    </cacheField>
    <cacheField name="[Measures].[Anzahl von Bezeichnung]" caption="Anzahl von Bezeichnung" numFmtId="0" hierarchy="21" level="32767"/>
    <cacheField name="[Formteile].[Typ].[Typ]" caption="Typ" numFmtId="0" hierarchy="1" level="1">
      <sharedItems count="4">
        <s v="Bogen"/>
        <s v="Hausanschluss"/>
        <s v="Reduzierung"/>
        <s v="T-Stück"/>
      </sharedItems>
    </cacheField>
  </cacheFields>
  <cacheHierarchies count="23">
    <cacheHierarchy uniqueName="[Formteile].[fid]" caption="fid" attribute="1" defaultMemberUniqueName="[Formteile].[fid].[All]" allUniqueName="[Formteile].[fid].[All]" dimensionUniqueName="[Formteile]" displayFolder="" count="0" memberValueDatatype="20" unbalanced="0"/>
    <cacheHierarchy uniqueName="[Formteile].[Typ]" caption="Typ" attribute="1" defaultMemberUniqueName="[Formteile].[Typ].[All]" allUniqueName="[Formteile].[Typ].[All]" dimensionUniqueName="[Formteile]" displayFolder="" count="2" memberValueDatatype="130" unbalanced="0">
      <fieldsUsage count="2">
        <fieldUsage x="-1"/>
        <fieldUsage x="2"/>
      </fieldsUsage>
    </cacheHierarchy>
    <cacheHierarchy uniqueName="[Formteile].[Dimension 1]" caption="Dimension 1" attribute="1" defaultMemberUniqueName="[Formteile].[Dimension 1].[All]" allUniqueName="[Formteile].[Dimension 1].[All]" dimensionUniqueName="[Formteile]" displayFolder="" count="0" memberValueDatatype="20" unbalanced="0"/>
    <cacheHierarchy uniqueName="[Formteile].[Dimension 2]" caption="Dimension 2" attribute="1" defaultMemberUniqueName="[Formteile].[Dimension 2].[All]" allUniqueName="[Formteile].[Dimension 2].[All]" dimensionUniqueName="[Formteile]" displayFolder="" count="0" memberValueDatatype="20" unbalanced="0"/>
    <cacheHierarchy uniqueName="[Formteile].[Bogen-Winkel]" caption="Bogen-Winkel" attribute="1" defaultMemberUniqueName="[Formteile].[Bogen-Winkel].[All]" allUniqueName="[Formteile].[Bogen-Winkel].[All]" dimensionUniqueName="[Formteile]" displayFolder="" count="0" memberValueDatatype="20" unbalanced="0"/>
    <cacheHierarchy uniqueName="[Formteile].[Leistung]" caption="Leistung" attribute="1" defaultMemberUniqueName="[Formteile].[Leistung].[All]" allUniqueName="[Formteile].[Leistung].[All]" dimensionUniqueName="[Formteile]" displayFolder="" count="0" memberValueDatatype="5" unbalanced="0"/>
    <cacheHierarchy uniqueName="[Formteile].[Verbundene Leitungen]" caption="Verbundene Leitungen" attribute="1" defaultMemberUniqueName="[Formteile].[Verbundene Leitungen].[All]" allUniqueName="[Formteile].[Verbundene Leitungen].[All]" dimensionUniqueName="[Formteile]" displayFolder="" count="0" memberValueDatatype="130" unbalanced="0"/>
    <cacheHierarchy uniqueName="[Formteile].[Anmerkungen]" caption="Anmerkungen" attribute="1" defaultMemberUniqueName="[Formteile].[Anmerkungen].[All]" allUniqueName="[Formteile].[Anmerkungen].[All]" dimensionUniqueName="[Formteile]" displayFolder="" count="0" memberValueDatatype="130" unbalanced="0"/>
    <cacheHierarchy uniqueName="[Formteile].[Bezeichnung]" caption="Bezeichnung" attribute="1" defaultMemberUniqueName="[Formteile].[Bezeichnung].[All]" allUniqueName="[Formteile].[Bezeichnung].[All]" dimensionUniqueName="[Formteile]" displayFolder="" count="2" memberValueDatatype="130" unbalanced="0">
      <fieldsUsage count="2">
        <fieldUsage x="-1"/>
        <fieldUsage x="0"/>
      </fieldsUsage>
    </cacheHierarchy>
    <cacheHierarchy uniqueName="[Formteile].[Sortierung]" caption="Sortierung" attribute="1" defaultMemberUniqueName="[Formteile].[Sortierung].[All]" allUniqueName="[Formteile].[Sortierung].[All]" dimensionUniqueName="[Formteile]" displayFolder="" count="0" memberValueDatatype="5" unbalanced="0"/>
    <cacheHierarchy uniqueName="[Leitungstrassen].[fid]" caption="fid" attribute="1" defaultMemberUniqueName="[Leitungstrassen].[fid].[All]" allUniqueName="[Leitungstrassen].[fid].[All]" dimensionUniqueName="[Leitungstrassen]" displayFolder="" count="0" memberValueDatatype="20" unbalanced="0"/>
    <cacheHierarchy uniqueName="[Leitungstrassen].[Original ID]" caption="Original ID" attribute="1" defaultMemberUniqueName="[Leitungstrassen].[Original ID].[All]" allUniqueName="[Leitungstrassen].[Original ID].[All]" dimensionUniqueName="[Leitungstrassen]" displayFolder="" count="0" memberValueDatatype="20" unbalanced="0"/>
    <cacheHierarchy uniqueName="[Leitungstrassen].[Original Dimension]" caption="Original Dimension" attribute="1" defaultMemberUniqueName="[Leitungstrassen].[Original Dimension].[All]" allUniqueName="[Leitungstrassen].[Original Dimension].[All]" dimensionUniqueName="[Leitungstrassen]" displayFolder="" count="0" memberValueDatatype="20" unbalanced="0"/>
    <cacheHierarchy uniqueName="[Leitungstrassen].[Original Leistung]" caption="Original Leistung" attribute="1" defaultMemberUniqueName="[Leitungstrassen].[Original Leistung].[All]" allUniqueName="[Leitungstrassen].[Original Leistung].[All]" dimensionUniqueName="[Leitungstrassen]" displayFolder="" count="0" memberValueDatatype="5" unbalanced="0"/>
    <cacheHierarchy uniqueName="[Leitungstrassen].[Trassenlänge]" caption="Trassenlänge" attribute="1" defaultMemberUniqueName="[Leitungstrassen].[Trassenlänge].[All]" allUniqueName="[Leitungstrassen].[Trassenlänge].[All]" dimensionUniqueName="[Leitungstrassen]" displayFolder="" count="0" memberValueDatatype="5" unbalanced="0"/>
    <cacheHierarchy uniqueName="[Leitungstrassen].[Typ]" caption="Typ" attribute="1" defaultMemberUniqueName="[Leitungstrassen].[Typ].[All]" allUniqueName="[Leitungstrassen].[Typ].[All]" dimensionUniqueName="[Leitungstrassen]" displayFolder="" count="0" memberValueDatatype="130" unbalanced="0"/>
    <cacheHierarchy uniqueName="[Leitungstrassen].[Bezeichnung]" caption="Bezeichnung" attribute="1" defaultMemberUniqueName="[Leitungstrassen].[Bezeichnung].[All]" allUniqueName="[Leitungstrassen].[Bezeichnung].[All]" dimensionUniqueName="[Leitungstrassen]" displayFolder="" count="0" memberValueDatatype="130" unbalanced="0"/>
    <cacheHierarchy uniqueName="[Leitungstrassen].[Sortierung]" caption="Sortierung" attribute="1" defaultMemberUniqueName="[Leitungstrassen].[Sortierung].[All]" allUniqueName="[Leitungstrassen].[Sortierung].[All]" dimensionUniqueName="[Leitungstrassen]" displayFolder="" count="0" memberValueDatatype="130" unbalanced="0"/>
    <cacheHierarchy uniqueName="[Measures].[__XL_Count Data]" caption="__XL_Count Data" measure="1" displayFolder="" measureGroup="Formteile" count="0" hidden="1"/>
    <cacheHierarchy uniqueName="[Measures].[__XL_Count Leitungstrassen]" caption="__XL_Count Leitungstrassen" measure="1" displayFolder="" measureGroup="Leitungstrassen" count="0" hidden="1"/>
    <cacheHierarchy uniqueName="[Measures].[__Es sind keine Measures definiert]" caption="__Es sind keine Measures definiert" measure="1" displayFolder="" count="0" hidden="1"/>
    <cacheHierarchy uniqueName="[Measures].[Anzahl von Bezeichnung]" caption="Anzahl von Bezeichnung" measure="1" displayFolder="" measureGroup="Formteile" count="0" oneField="1" hidden="1">
      <fieldsUsage count="1">
        <fieldUsage x="1"/>
      </fieldsUsage>
      <extLst>
        <ext xmlns:x15="http://schemas.microsoft.com/office/spreadsheetml/2010/11/main" uri="{B97F6D7D-B522-45F9-BDA1-12C45D357490}">
          <x15:cacheHierarchy aggregatedColumn="8"/>
        </ext>
      </extLst>
    </cacheHierarchy>
    <cacheHierarchy uniqueName="[Measures].[Summe von Trassenlänge]" caption="Summe von Trassenlänge" measure="1" displayFolder="" measureGroup="Leitungstrassen" count="0" hidden="1">
      <extLst>
        <ext xmlns:x15="http://schemas.microsoft.com/office/spreadsheetml/2010/11/main" uri="{B97F6D7D-B522-45F9-BDA1-12C45D357490}">
          <x15:cacheHierarchy aggregatedColumn="14"/>
        </ext>
      </extLst>
    </cacheHierarchy>
  </cacheHierarchies>
  <kpis count="0"/>
  <dimensions count="3">
    <dimension name="Formteile" uniqueName="[Formteile]" caption="Formteile"/>
    <dimension name="Leitungstrassen" uniqueName="[Leitungstrassen]" caption="Leitungstrassen"/>
    <dimension measure="1" name="Measures" uniqueName="[Measures]" caption="Measures"/>
  </dimensions>
  <measureGroups count="2">
    <measureGroup name="Formteile" caption="Formteile"/>
    <measureGroup name="Leitungstrassen" caption="Leitungstrassen"/>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Florian Ludwig" refreshedDate="46063.529830208332" createdVersion="5" refreshedVersion="8" minRefreshableVersion="3" recordCount="0" supportSubquery="1" supportAdvancedDrill="1" xr:uid="{26241CBD-BBA2-475C-9592-E6DD7761EFA4}">
  <cacheSource type="external" connectionId="3"/>
  <cacheFields count="2">
    <cacheField name="[Measures].[Summe von Trassenlänge]" caption="Summe von Trassenlänge" numFmtId="0" hierarchy="22" level="32767"/>
    <cacheField name="[Leitungstrassen].[Sortierung].[Sortierung]" caption="Sortierung" numFmtId="0" hierarchy="17" level="1">
      <sharedItems count="2">
        <s v="DN 25"/>
        <s v="DN 80"/>
      </sharedItems>
    </cacheField>
  </cacheFields>
  <cacheHierarchies count="23">
    <cacheHierarchy uniqueName="[Formteile].[fid]" caption="fid" attribute="1" defaultMemberUniqueName="[Formteile].[fid].[All]" allUniqueName="[Formteile].[fid].[All]" dimensionUniqueName="[Formteile]" displayFolder="" count="0" memberValueDatatype="20" unbalanced="0"/>
    <cacheHierarchy uniqueName="[Formteile].[Typ]" caption="Typ" attribute="1" defaultMemberUniqueName="[Formteile].[Typ].[All]" allUniqueName="[Formteile].[Typ].[All]" dimensionUniqueName="[Formteile]" displayFolder="" count="0" memberValueDatatype="130" unbalanced="0"/>
    <cacheHierarchy uniqueName="[Formteile].[Dimension 1]" caption="Dimension 1" attribute="1" defaultMemberUniqueName="[Formteile].[Dimension 1].[All]" allUniqueName="[Formteile].[Dimension 1].[All]" dimensionUniqueName="[Formteile]" displayFolder="" count="0" memberValueDatatype="20" unbalanced="0"/>
    <cacheHierarchy uniqueName="[Formteile].[Dimension 2]" caption="Dimension 2" attribute="1" defaultMemberUniqueName="[Formteile].[Dimension 2].[All]" allUniqueName="[Formteile].[Dimension 2].[All]" dimensionUniqueName="[Formteile]" displayFolder="" count="0" memberValueDatatype="20" unbalanced="0"/>
    <cacheHierarchy uniqueName="[Formteile].[Bogen-Winkel]" caption="Bogen-Winkel" attribute="1" defaultMemberUniqueName="[Formteile].[Bogen-Winkel].[All]" allUniqueName="[Formteile].[Bogen-Winkel].[All]" dimensionUniqueName="[Formteile]" displayFolder="" count="0" memberValueDatatype="20" unbalanced="0"/>
    <cacheHierarchy uniqueName="[Formteile].[Leistung]" caption="Leistung" attribute="1" defaultMemberUniqueName="[Formteile].[Leistung].[All]" allUniqueName="[Formteile].[Leistung].[All]" dimensionUniqueName="[Formteile]" displayFolder="" count="0" memberValueDatatype="5" unbalanced="0"/>
    <cacheHierarchy uniqueName="[Formteile].[Verbundene Leitungen]" caption="Verbundene Leitungen" attribute="1" defaultMemberUniqueName="[Formteile].[Verbundene Leitungen].[All]" allUniqueName="[Formteile].[Verbundene Leitungen].[All]" dimensionUniqueName="[Formteile]" displayFolder="" count="0" memberValueDatatype="130" unbalanced="0"/>
    <cacheHierarchy uniqueName="[Formteile].[Anmerkungen]" caption="Anmerkungen" attribute="1" defaultMemberUniqueName="[Formteile].[Anmerkungen].[All]" allUniqueName="[Formteile].[Anmerkungen].[All]" dimensionUniqueName="[Formteile]" displayFolder="" count="0" memberValueDatatype="130" unbalanced="0"/>
    <cacheHierarchy uniqueName="[Formteile].[Bezeichnung]" caption="Bezeichnung" attribute="1" defaultMemberUniqueName="[Formteile].[Bezeichnung].[All]" allUniqueName="[Formteile].[Bezeichnung].[All]" dimensionUniqueName="[Formteile]" displayFolder="" count="0" memberValueDatatype="130" unbalanced="0"/>
    <cacheHierarchy uniqueName="[Formteile].[Sortierung]" caption="Sortierung" attribute="1" defaultMemberUniqueName="[Formteile].[Sortierung].[All]" allUniqueName="[Formteile].[Sortierung].[All]" dimensionUniqueName="[Formteile]" displayFolder="" count="0" memberValueDatatype="5" unbalanced="0"/>
    <cacheHierarchy uniqueName="[Leitungstrassen].[fid]" caption="fid" attribute="1" defaultMemberUniqueName="[Leitungstrassen].[fid].[All]" allUniqueName="[Leitungstrassen].[fid].[All]" dimensionUniqueName="[Leitungstrassen]" displayFolder="" count="0" memberValueDatatype="20" unbalanced="0"/>
    <cacheHierarchy uniqueName="[Leitungstrassen].[Original ID]" caption="Original ID" attribute="1" defaultMemberUniqueName="[Leitungstrassen].[Original ID].[All]" allUniqueName="[Leitungstrassen].[Original ID].[All]" dimensionUniqueName="[Leitungstrassen]" displayFolder="" count="0" memberValueDatatype="20" unbalanced="0"/>
    <cacheHierarchy uniqueName="[Leitungstrassen].[Original Dimension]" caption="Original Dimension" attribute="1" defaultMemberUniqueName="[Leitungstrassen].[Original Dimension].[All]" allUniqueName="[Leitungstrassen].[Original Dimension].[All]" dimensionUniqueName="[Leitungstrassen]" displayFolder="" count="0" memberValueDatatype="20" unbalanced="0"/>
    <cacheHierarchy uniqueName="[Leitungstrassen].[Original Leistung]" caption="Original Leistung" attribute="1" defaultMemberUniqueName="[Leitungstrassen].[Original Leistung].[All]" allUniqueName="[Leitungstrassen].[Original Leistung].[All]" dimensionUniqueName="[Leitungstrassen]" displayFolder="" count="0" memberValueDatatype="5" unbalanced="0"/>
    <cacheHierarchy uniqueName="[Leitungstrassen].[Trassenlänge]" caption="Trassenlänge" attribute="1" defaultMemberUniqueName="[Leitungstrassen].[Trassenlänge].[All]" allUniqueName="[Leitungstrassen].[Trassenlänge].[All]" dimensionUniqueName="[Leitungstrassen]" displayFolder="" count="0" memberValueDatatype="5" unbalanced="0"/>
    <cacheHierarchy uniqueName="[Leitungstrassen].[Typ]" caption="Typ" attribute="1" defaultMemberUniqueName="[Leitungstrassen].[Typ].[All]" allUniqueName="[Leitungstrassen].[Typ].[All]" dimensionUniqueName="[Leitungstrassen]" displayFolder="" count="0" memberValueDatatype="130" unbalanced="0"/>
    <cacheHierarchy uniqueName="[Leitungstrassen].[Bezeichnung]" caption="Bezeichnung" attribute="1" defaultMemberUniqueName="[Leitungstrassen].[Bezeichnung].[All]" allUniqueName="[Leitungstrassen].[Bezeichnung].[All]" dimensionUniqueName="[Leitungstrassen]" displayFolder="" count="0" memberValueDatatype="130" unbalanced="0"/>
    <cacheHierarchy uniqueName="[Leitungstrassen].[Sortierung]" caption="Sortierung" attribute="1" defaultMemberUniqueName="[Leitungstrassen].[Sortierung].[All]" allUniqueName="[Leitungstrassen].[Sortierung].[All]" dimensionUniqueName="[Leitungstrassen]" displayFolder="" count="2" memberValueDatatype="130" unbalanced="0">
      <fieldsUsage count="2">
        <fieldUsage x="-1"/>
        <fieldUsage x="1"/>
      </fieldsUsage>
    </cacheHierarchy>
    <cacheHierarchy uniqueName="[Measures].[__XL_Count Data]" caption="__XL_Count Data" measure="1" displayFolder="" measureGroup="Formteile" count="0" hidden="1"/>
    <cacheHierarchy uniqueName="[Measures].[__XL_Count Leitungstrassen]" caption="__XL_Count Leitungstrassen" measure="1" displayFolder="" measureGroup="Leitungstrassen" count="0" hidden="1"/>
    <cacheHierarchy uniqueName="[Measures].[__Es sind keine Measures definiert]" caption="__Es sind keine Measures definiert" measure="1" displayFolder="" count="0" hidden="1"/>
    <cacheHierarchy uniqueName="[Measures].[Anzahl von Bezeichnung]" caption="Anzahl von Bezeichnung" measure="1" displayFolder="" measureGroup="Formteile" count="0" hidden="1">
      <extLst>
        <ext xmlns:x15="http://schemas.microsoft.com/office/spreadsheetml/2010/11/main" uri="{B97F6D7D-B522-45F9-BDA1-12C45D357490}">
          <x15:cacheHierarchy aggregatedColumn="8"/>
        </ext>
      </extLst>
    </cacheHierarchy>
    <cacheHierarchy uniqueName="[Measures].[Summe von Trassenlänge]" caption="Summe von Trassenlänge" measure="1" displayFolder="" measureGroup="Leitungstrassen"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3">
    <dimension name="Formteile" uniqueName="[Formteile]" caption="Formteile"/>
    <dimension name="Leitungstrassen" uniqueName="[Leitungstrassen]" caption="Leitungstrassen"/>
    <dimension measure="1" name="Measures" uniqueName="[Measures]" caption="Measures"/>
  </dimensions>
  <measureGroups count="2">
    <measureGroup name="Formteile" caption="Formteile"/>
    <measureGroup name="Leitungstrassen" caption="Leitungstrassen"/>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lorian Ludwig" refreshedDate="46063.529826157406" createdVersion="3" refreshedVersion="8" minRefreshableVersion="3" recordCount="0" supportSubquery="1" supportAdvancedDrill="1" xr:uid="{7CB3F73B-204D-4F78-AF5C-EB3DDA8A3B84}">
  <cacheSource type="external" connectionId="3">
    <extLst>
      <ext xmlns:x14="http://schemas.microsoft.com/office/spreadsheetml/2009/9/main" uri="{F057638F-6D5F-4e77-A914-E7F072B9BCA8}">
        <x14:sourceConnection name="ThisWorkbookDataModel"/>
      </ext>
    </extLst>
  </cacheSource>
  <cacheFields count="0"/>
  <cacheHierarchies count="23">
    <cacheHierarchy uniqueName="[Formteile].[fid]" caption="fid" attribute="1" defaultMemberUniqueName="[Formteile].[fid].[All]" allUniqueName="[Formteile].[fid].[All]" dimensionUniqueName="[Formteile]" displayFolder="" count="0" memberValueDatatype="20" unbalanced="0"/>
    <cacheHierarchy uniqueName="[Formteile].[Typ]" caption="Typ" attribute="1" defaultMemberUniqueName="[Formteile].[Typ].[All]" allUniqueName="[Formteile].[Typ].[All]" dimensionUniqueName="[Formteile]" displayFolder="" count="2" memberValueDatatype="130" unbalanced="0"/>
    <cacheHierarchy uniqueName="[Formteile].[Dimension 1]" caption="Dimension 1" attribute="1" defaultMemberUniqueName="[Formteile].[Dimension 1].[All]" allUniqueName="[Formteile].[Dimension 1].[All]" dimensionUniqueName="[Formteile]" displayFolder="" count="0" memberValueDatatype="20" unbalanced="0"/>
    <cacheHierarchy uniqueName="[Formteile].[Dimension 2]" caption="Dimension 2" attribute="1" defaultMemberUniqueName="[Formteile].[Dimension 2].[All]" allUniqueName="[Formteile].[Dimension 2].[All]" dimensionUniqueName="[Formteile]" displayFolder="" count="0" memberValueDatatype="20" unbalanced="0"/>
    <cacheHierarchy uniqueName="[Formteile].[Bogen-Winkel]" caption="Bogen-Winkel" attribute="1" defaultMemberUniqueName="[Formteile].[Bogen-Winkel].[All]" allUniqueName="[Formteile].[Bogen-Winkel].[All]" dimensionUniqueName="[Formteile]" displayFolder="" count="0" memberValueDatatype="20" unbalanced="0"/>
    <cacheHierarchy uniqueName="[Formteile].[Leistung]" caption="Leistung" attribute="1" defaultMemberUniqueName="[Formteile].[Leistung].[All]" allUniqueName="[Formteile].[Leistung].[All]" dimensionUniqueName="[Formteile]" displayFolder="" count="0" memberValueDatatype="5" unbalanced="0"/>
    <cacheHierarchy uniqueName="[Formteile].[Verbundene Leitungen]" caption="Verbundene Leitungen" attribute="1" defaultMemberUniqueName="[Formteile].[Verbundene Leitungen].[All]" allUniqueName="[Formteile].[Verbundene Leitungen].[All]" dimensionUniqueName="[Formteile]" displayFolder="" count="0" memberValueDatatype="130" unbalanced="0"/>
    <cacheHierarchy uniqueName="[Formteile].[Anmerkungen]" caption="Anmerkungen" attribute="1" defaultMemberUniqueName="[Formteile].[Anmerkungen].[All]" allUniqueName="[Formteile].[Anmerkungen].[All]" dimensionUniqueName="[Formteile]" displayFolder="" count="0" memberValueDatatype="130" unbalanced="0"/>
    <cacheHierarchy uniqueName="[Formteile].[Bezeichnung]" caption="Bezeichnung" attribute="1" defaultMemberUniqueName="[Formteile].[Bezeichnung].[All]" allUniqueName="[Formteile].[Bezeichnung].[All]" dimensionUniqueName="[Formteile]" displayFolder="" count="0" memberValueDatatype="130" unbalanced="0"/>
    <cacheHierarchy uniqueName="[Formteile].[Sortierung]" caption="Sortierung" attribute="1" defaultMemberUniqueName="[Formteile].[Sortierung].[All]" allUniqueName="[Formteile].[Sortierung].[All]" dimensionUniqueName="[Formteile]" displayFolder="" count="0" memberValueDatatype="5" unbalanced="0"/>
    <cacheHierarchy uniqueName="[Leitungstrassen].[fid]" caption="fid" attribute="1" defaultMemberUniqueName="[Leitungstrassen].[fid].[All]" allUniqueName="[Leitungstrassen].[fid].[All]" dimensionUniqueName="[Leitungstrassen]" displayFolder="" count="0" memberValueDatatype="20" unbalanced="0"/>
    <cacheHierarchy uniqueName="[Leitungstrassen].[Original ID]" caption="Original ID" attribute="1" defaultMemberUniqueName="[Leitungstrassen].[Original ID].[All]" allUniqueName="[Leitungstrassen].[Original ID].[All]" dimensionUniqueName="[Leitungstrassen]" displayFolder="" count="0" memberValueDatatype="20" unbalanced="0"/>
    <cacheHierarchy uniqueName="[Leitungstrassen].[Original Dimension]" caption="Original Dimension" attribute="1" defaultMemberUniqueName="[Leitungstrassen].[Original Dimension].[All]" allUniqueName="[Leitungstrassen].[Original Dimension].[All]" dimensionUniqueName="[Leitungstrassen]" displayFolder="" count="0" memberValueDatatype="20" unbalanced="0"/>
    <cacheHierarchy uniqueName="[Leitungstrassen].[Original Leistung]" caption="Original Leistung" attribute="1" defaultMemberUniqueName="[Leitungstrassen].[Original Leistung].[All]" allUniqueName="[Leitungstrassen].[Original Leistung].[All]" dimensionUniqueName="[Leitungstrassen]" displayFolder="" count="0" memberValueDatatype="5" unbalanced="0"/>
    <cacheHierarchy uniqueName="[Leitungstrassen].[Trassenlänge]" caption="Trassenlänge" attribute="1" defaultMemberUniqueName="[Leitungstrassen].[Trassenlänge].[All]" allUniqueName="[Leitungstrassen].[Trassenlänge].[All]" dimensionUniqueName="[Leitungstrassen]" displayFolder="" count="0" memberValueDatatype="5" unbalanced="0"/>
    <cacheHierarchy uniqueName="[Leitungstrassen].[Typ]" caption="Typ" attribute="1" defaultMemberUniqueName="[Leitungstrassen].[Typ].[All]" allUniqueName="[Leitungstrassen].[Typ].[All]" dimensionUniqueName="[Leitungstrassen]" displayFolder="" count="0" memberValueDatatype="130" unbalanced="0"/>
    <cacheHierarchy uniqueName="[Leitungstrassen].[Bezeichnung]" caption="Bezeichnung" attribute="1" defaultMemberUniqueName="[Leitungstrassen].[Bezeichnung].[All]" allUniqueName="[Leitungstrassen].[Bezeichnung].[All]" dimensionUniqueName="[Leitungstrassen]" displayFolder="" count="0" memberValueDatatype="130" unbalanced="0"/>
    <cacheHierarchy uniqueName="[Leitungstrassen].[Sortierung]" caption="Sortierung" attribute="1" defaultMemberUniqueName="[Leitungstrassen].[Sortierung].[All]" allUniqueName="[Leitungstrassen].[Sortierung].[All]" dimensionUniqueName="[Leitungstrassen]" displayFolder="" count="0" memberValueDatatype="130" unbalanced="0"/>
    <cacheHierarchy uniqueName="[Measures].[__XL_Count Data]" caption="__XL_Count Data" measure="1" displayFolder="" measureGroup="Formteile" count="0" hidden="1"/>
    <cacheHierarchy uniqueName="[Measures].[__XL_Count Leitungstrassen]" caption="__XL_Count Leitungstrassen" measure="1" displayFolder="" measureGroup="Leitungstrassen" count="0" hidden="1"/>
    <cacheHierarchy uniqueName="[Measures].[__Es sind keine Measures definiert]" caption="__Es sind keine Measures definiert" measure="1" displayFolder="" count="0" hidden="1"/>
    <cacheHierarchy uniqueName="[Measures].[Anzahl von Bezeichnung]" caption="Anzahl von Bezeichnung" measure="1" displayFolder="" measureGroup="Formteile" count="0" hidden="1">
      <extLst>
        <ext xmlns:x15="http://schemas.microsoft.com/office/spreadsheetml/2010/11/main" uri="{B97F6D7D-B522-45F9-BDA1-12C45D357490}">
          <x15:cacheHierarchy aggregatedColumn="8"/>
        </ext>
      </extLst>
    </cacheHierarchy>
    <cacheHierarchy uniqueName="[Measures].[Summe von Trassenlänge]" caption="Summe von Trassenlänge" measure="1" displayFolder="" measureGroup="Leitungstrassen"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3331424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CB5255-AB2A-44FB-96F6-7E0E41A6AE7F}" name="PivotTable2" cacheId="9" applyNumberFormats="0" applyBorderFormats="0" applyFontFormats="0" applyPatternFormats="0" applyAlignmentFormats="0" applyWidthHeightFormats="1" dataCaption="Werte" tag="2f21074b-f910-448e-af0b-a8f96be4f402" updatedVersion="8" minRefreshableVersion="3" useAutoFormatting="1" itemPrintTitles="1" createdVersion="5" indent="0" outline="1" outlineData="1" multipleFieldFilters="0" rowHeaderCaption="Leitungstrassen">
  <location ref="I5:J8"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Länge" fld="0" baseField="0" baseItem="0" numFmtId="164"/>
  </dataFields>
  <formats count="6">
    <format dxfId="22">
      <pivotArea dataOnly="0" labelOnly="1" outline="0" axis="axisValues" fieldPosition="0"/>
    </format>
    <format dxfId="21">
      <pivotArea type="all" dataOnly="0" outline="0" fieldPosition="0"/>
    </format>
    <format dxfId="20">
      <pivotArea outline="0" collapsedLevelsAreSubtotals="1" fieldPosition="0"/>
    </format>
    <format dxfId="19">
      <pivotArea dataOnly="0" labelOnly="1" grandRow="1" outline="0" fieldPosition="0"/>
    </format>
    <format dxfId="18">
      <pivotArea dataOnly="0" labelOnly="1" outline="0" axis="axisValues" fieldPosition="0"/>
    </format>
    <format dxfId="17">
      <pivotArea outline="0" fieldPosition="0">
        <references count="1">
          <reference field="4294967294" count="1">
            <x v="0"/>
          </reference>
        </references>
      </pivotArea>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Länge"/>
  </pivotHierarchies>
  <pivotTableStyleInfo name="PivotStyleMedium2"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eitungstrasse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E37A62-9801-4150-B445-E17B7CD0D972}" name="PivotTable1" cacheId="6" applyNumberFormats="0" applyBorderFormats="0" applyFontFormats="0" applyPatternFormats="0" applyAlignmentFormats="0" applyWidthHeightFormats="1" dataCaption="Werte" tag="c996f8f5-1586-4279-8235-522d4838e301" updatedVersion="8" minRefreshableVersion="3" useAutoFormatting="1" itemPrintTitles="1" createdVersion="5" indent="0" outline="1" outlineData="1" multipleFieldFilters="0" rowHeaderCaption="Formteile">
  <location ref="E5:F14" firstHeaderRow="1" firstDataRow="1" firstDataCol="1"/>
  <pivotFields count="3">
    <pivotField axis="axisRow" allDrilled="1" showAll="0" dataSourceSort="1" defaultAttributeDrillState="1">
      <items count="6">
        <item x="0"/>
        <item x="1"/>
        <item x="2"/>
        <item x="3"/>
        <item x="4"/>
        <item t="default"/>
      </items>
    </pivotField>
    <pivotField dataField="1" subtotalTop="0" showAll="0" defaultSubtotal="0"/>
    <pivotField axis="axisRow" allDrilled="1" showAll="0" dataSourceSort="1" defaultAttributeDrillState="1">
      <items count="5">
        <item s="1" x="0"/>
        <item s="1" x="1"/>
        <item s="1" x="2"/>
        <item s="1" x="3"/>
        <item t="default"/>
      </items>
    </pivotField>
  </pivotFields>
  <rowFields count="2">
    <field x="2"/>
    <field x="0"/>
  </rowFields>
  <rowItems count="9">
    <i>
      <x/>
    </i>
    <i r="1">
      <x/>
    </i>
    <i>
      <x v="1"/>
    </i>
    <i r="1">
      <x v="1"/>
    </i>
    <i>
      <x v="2"/>
    </i>
    <i r="1">
      <x v="2"/>
    </i>
    <i>
      <x v="3"/>
    </i>
    <i r="1">
      <x v="3"/>
    </i>
    <i t="grand">
      <x/>
    </i>
  </rowItems>
  <colItems count="1">
    <i/>
  </colItems>
  <dataFields count="1">
    <dataField name="Anzahl" fld="1" subtotal="count" baseField="0" baseItem="4"/>
  </dataFields>
  <formats count="8">
    <format dxfId="30">
      <pivotArea type="all" dataOnly="0" outline="0" fieldPosition="0"/>
    </format>
    <format dxfId="29">
      <pivotArea outline="0" collapsedLevelsAreSubtotals="1" fieldPosition="0"/>
    </format>
    <format dxfId="28">
      <pivotArea field="2" type="button" dataOnly="0" labelOnly="1" outline="0" axis="axisRow" fieldPosition="0"/>
    </format>
    <format dxfId="27">
      <pivotArea dataOnly="0" labelOnly="1" fieldPosition="0">
        <references count="1">
          <reference field="2" count="0"/>
        </references>
      </pivotArea>
    </format>
    <format dxfId="26">
      <pivotArea dataOnly="0" labelOnly="1" grandRow="1" outline="0" fieldPosition="0"/>
    </format>
    <format dxfId="25">
      <pivotArea dataOnly="0" labelOnly="1" fieldPosition="0">
        <references count="2">
          <reference field="0" count="1">
            <x v="4"/>
          </reference>
          <reference field="2" count="1" selected="0">
            <x v="2"/>
          </reference>
        </references>
      </pivotArea>
    </format>
    <format dxfId="24">
      <pivotArea dataOnly="0" labelOnly="1" fieldPosition="0">
        <references count="2">
          <reference field="0" count="1">
            <x v="4"/>
          </reference>
          <reference field="2" count="1" selected="0">
            <x v="3"/>
          </reference>
        </references>
      </pivotArea>
    </format>
    <format dxfId="23">
      <pivotArea dataOnly="0" labelOnly="1" outline="0" axis="axisValues" fieldPosition="0"/>
    </format>
  </formats>
  <pivotHierarchies count="2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Anzahl"/>
    <pivotHierarchy dragToData="1"/>
  </pivotHierarchies>
  <pivotTableStyleInfo name="PivotStyleDark2" showRowHeaders="1" showColHeaders="1" showRowStripes="0" showColStripes="0" showLastColumn="1"/>
  <rowHierarchiesUsage count="2">
    <rowHierarchyUsage hierarchyUsage="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rmteile]"/>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backgroundRefresh="0" refreshOnLoad="1" connectionId="1" xr16:uid="{F7E76FC9-9765-4554-A608-2B88654FBE18}" autoFormatId="16" applyNumberFormats="0" applyBorderFormats="0" applyFontFormats="0" applyPatternFormats="0" applyAlignmentFormats="0" applyWidthHeightFormats="0">
  <queryTableRefresh nextId="14">
    <queryTableFields count="10">
      <queryTableField id="1" name="fid" tableColumnId="1"/>
      <queryTableField id="2" name="Typ" tableColumnId="2"/>
      <queryTableField id="3" name="Dimension 1" tableColumnId="3"/>
      <queryTableField id="4" name="Dimension 2" tableColumnId="4"/>
      <queryTableField id="5" name="Bogen-Winkel" tableColumnId="5"/>
      <queryTableField id="12" name="Leistung" tableColumnId="9"/>
      <queryTableField id="6" name="Verbundene Leitungen" tableColumnId="6"/>
      <queryTableField id="7" name="Anmerkungen" tableColumnId="7"/>
      <queryTableField id="10" name="Bezeichnung" tableColumnId="10"/>
      <queryTableField id="11" name="Sortierung"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eDaten_1" backgroundRefresh="0" refreshOnLoad="1" connectionId="2" xr16:uid="{D0D511C9-EF7F-4C6A-8095-CFCD10931F25}" autoFormatId="16" applyNumberFormats="0" applyBorderFormats="0" applyFontFormats="0" applyPatternFormats="0" applyAlignmentFormats="0" applyWidthHeightFormats="0">
  <queryTableRefresh nextId="19">
    <queryTableFields count="8">
      <queryTableField id="5" name="fid" tableColumnId="1"/>
      <queryTableField id="6" name="Original ID" tableColumnId="2"/>
      <queryTableField id="16" name="Original Dimension" tableColumnId="5"/>
      <queryTableField id="8" name="Original Leistung" tableColumnId="6"/>
      <queryTableField id="3" name="Trassenlänge" tableColumnId="3"/>
      <queryTableField id="9" name="Typ" tableColumnId="7"/>
      <queryTableField id="4" name="Bezeichnung" tableColumnId="4"/>
      <queryTableField id="17" name="Sortierung"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Typ" xr10:uid="{882410DE-22F3-481E-8EFA-4A84CEB2F7E8}" sourceName="[Formteile].[Typ]">
  <pivotTables>
    <pivotTable tabId="1" name="PivotTable1"/>
  </pivotTables>
  <data>
    <olap pivotCacheId="1333142473">
      <levels count="2">
        <level uniqueName="[Formteile].[Typ].[(All)]" sourceCaption="(All)" count="0"/>
        <level uniqueName="[Formteile].[Typ].[Typ]" sourceCaption="Typ" count="5">
          <ranges>
            <range startItem="0">
              <i n="[Formteile].[Typ].&amp;[Bogen]" c="Bogen"/>
              <i n="[Formteile].[Typ].&amp;[Fragwürdiger Punkt]" c="Fragwürdiger Punkt"/>
              <i n="[Formteile].[Typ].&amp;[Hausanschluss]" c="Hausanschluss"/>
              <i n="[Formteile].[Typ].&amp;[Reduzierung]" c="Reduzierung"/>
              <i n="[Formteile].[Typ].&amp;[T-Stück]" c="T-Stück"/>
            </range>
          </ranges>
        </level>
      </levels>
      <selections count="4">
        <selection n="[Formteile].[Typ].&amp;[Bogen]"/>
        <selection n="[Formteile].[Typ].&amp;[Hausanschluss]"/>
        <selection n="[Formteile].[Typ].&amp;[Reduzierung]"/>
        <selection n="[Formteile].[Typ].&amp;[T-Stück]"/>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 xr10:uid="{83F4968D-3975-46F1-9ABD-065F46BB0109}" cache="Datenschnitt_Typ" caption="Typ"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02DBAB-6B1F-48F5-8A7B-47C7C4BE0D9C}" name="Formteile" displayName="Formteile" ref="A1:J6" tableType="queryTable" totalsRowShown="0">
  <autoFilter ref="A1:J6" xr:uid="{4802DBAB-6B1F-48F5-8A7B-47C7C4BE0D9C}"/>
  <sortState xmlns:xlrd2="http://schemas.microsoft.com/office/spreadsheetml/2017/richdata2" ref="A2:J6">
    <sortCondition descending="1" ref="J1:J6"/>
  </sortState>
  <tableColumns count="10">
    <tableColumn id="1" xr3:uid="{92C8771F-CC32-445E-9EE7-D9117799CD7A}" uniqueName="1" name="fid" queryTableFieldId="1"/>
    <tableColumn id="2" xr3:uid="{3A008B69-96B9-44A6-854D-356CD686DCF6}" uniqueName="2" name="Typ" queryTableFieldId="2" dataDxfId="16"/>
    <tableColumn id="3" xr3:uid="{6D062F88-9C16-4850-ACCD-CF612D879CA1}" uniqueName="3" name="Dimension 1" queryTableFieldId="3"/>
    <tableColumn id="4" xr3:uid="{6F3A9792-9E9B-47AA-9F8F-C1BB4D3960AE}" uniqueName="4" name="Dimension 2" queryTableFieldId="4"/>
    <tableColumn id="5" xr3:uid="{7C0C1692-8C54-4624-85E5-6B50D4F9669E}" uniqueName="5" name="Bogen-Winkel" queryTableFieldId="5"/>
    <tableColumn id="9" xr3:uid="{C08F27D2-3942-421E-902D-96A5AD8BEBB6}" uniqueName="9" name="Leistung" queryTableFieldId="12"/>
    <tableColumn id="6" xr3:uid="{67DDF3AF-0A28-4237-A23C-5134B4BAEE7A}" uniqueName="6" name="Verbundene Leitungen" queryTableFieldId="6" dataDxfId="15"/>
    <tableColumn id="7" xr3:uid="{410A0959-AACB-4DE2-BF9A-A23234B460F0}" uniqueName="7" name="Anmerkungen" queryTableFieldId="7" dataDxfId="14"/>
    <tableColumn id="10" xr3:uid="{C40EF719-B656-4CF6-9025-020B9B2097DF}" uniqueName="10" name="Bezeichnung" queryTableFieldId="10"/>
    <tableColumn id="8" xr3:uid="{36D41422-9FAE-4F86-9DA2-827FEC4F3AA4}" uniqueName="8" name="Sortierung"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DADEC2-1E02-49A9-B4D7-420DFE97D011}" name="Leitungstrassen" displayName="Leitungstrassen" ref="A1:H3" tableType="queryTable" totalsRowShown="0">
  <autoFilter ref="A1:H3" xr:uid="{43DADEC2-1E02-49A9-B4D7-420DFE97D011}"/>
  <tableColumns count="8">
    <tableColumn id="1" xr3:uid="{A65C54DA-5CB2-467E-BE03-EB860D6D7014}" uniqueName="1" name="fid" queryTableFieldId="5"/>
    <tableColumn id="2" xr3:uid="{C6689E8C-E0A9-4413-9FE4-E15A0A2B9BBD}" uniqueName="2" name="Original ID" queryTableFieldId="6"/>
    <tableColumn id="5" xr3:uid="{FABA0E99-BE48-4574-965D-05D59322C32C}" uniqueName="5" name="Original Dimension" queryTableFieldId="16"/>
    <tableColumn id="6" xr3:uid="{FC8DB18F-3ADC-4870-9C95-6E0531A4457F}" uniqueName="6" name="Original Leistung" queryTableFieldId="8"/>
    <tableColumn id="3" xr3:uid="{75F67F2C-F147-47B0-BC68-153D7EC829E0}" uniqueName="3" name="Trassenlänge" queryTableFieldId="3"/>
    <tableColumn id="7" xr3:uid="{A3A3642F-876D-405B-B085-0CF11A094660}" uniqueName="7" name="Typ" queryTableFieldId="9"/>
    <tableColumn id="4" xr3:uid="{97C83AAB-5DB7-4A97-B28D-B9E73622D746}" uniqueName="4" name="Bezeichnung" queryTableFieldId="4"/>
    <tableColumn id="8" xr3:uid="{7227FC24-6C90-4E17-93B7-B4E82560FBD9}" uniqueName="8" name="Sortierung"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K119"/>
  <sheetViews>
    <sheetView showGridLines="0" tabSelected="1" workbookViewId="0">
      <selection activeCell="I15" sqref="I15"/>
    </sheetView>
  </sheetViews>
  <sheetFormatPr baseColWidth="10" defaultColWidth="8.88671875" defaultRowHeight="13.8" x14ac:dyDescent="0.25"/>
  <cols>
    <col min="1" max="1" width="5.88671875" style="1" customWidth="1"/>
    <col min="2" max="2" width="4.77734375" style="1" customWidth="1"/>
    <col min="3" max="3" width="6.109375" style="1" customWidth="1"/>
    <col min="4" max="4" width="12.77734375" style="1" customWidth="1"/>
    <col min="5" max="5" width="19.109375" style="1" bestFit="1" customWidth="1"/>
    <col min="6" max="6" width="7.5546875" style="1" bestFit="1" customWidth="1"/>
    <col min="7" max="8" width="8.88671875" style="1"/>
    <col min="9" max="9" width="17.33203125" style="1" bestFit="1" customWidth="1"/>
    <col min="10" max="10" width="6.5546875" style="1" bestFit="1" customWidth="1"/>
    <col min="11" max="16384" width="8.88671875" style="1"/>
  </cols>
  <sheetData>
    <row r="1" spans="3:11" x14ac:dyDescent="0.25">
      <c r="C1" s="3" t="str" cm="1">
        <f t="array" aca="1" ref="C1" ca="1">CELL("Dateiname")</f>
        <v>C:\Users\fl\Documents\Python\QGIS-Plugin_DHN\resources\templates\[UTEC_DHN.xlsx]Zusammenfassung</v>
      </c>
    </row>
    <row r="3" spans="3:11" ht="14.4" x14ac:dyDescent="0.3">
      <c r="C3"/>
      <c r="D3"/>
    </row>
    <row r="5" spans="3:11" ht="14.4" x14ac:dyDescent="0.3">
      <c r="E5" s="4" t="s">
        <v>18</v>
      </c>
      <c r="F5" s="5" t="s">
        <v>15</v>
      </c>
      <c r="G5"/>
      <c r="H5"/>
      <c r="I5" s="4" t="s">
        <v>21</v>
      </c>
      <c r="J5" s="9" t="s">
        <v>22</v>
      </c>
      <c r="K5"/>
    </row>
    <row r="6" spans="3:11" ht="14.4" x14ac:dyDescent="0.3">
      <c r="E6" s="6" t="s">
        <v>11</v>
      </c>
      <c r="F6" s="7">
        <v>1</v>
      </c>
      <c r="G6"/>
      <c r="H6"/>
      <c r="I6" s="6" t="s">
        <v>25</v>
      </c>
      <c r="J6" s="10">
        <v>15.08003494579712</v>
      </c>
      <c r="K6"/>
    </row>
    <row r="7" spans="3:11" ht="14.4" x14ac:dyDescent="0.3">
      <c r="E7" s="8" t="s">
        <v>27</v>
      </c>
      <c r="F7" s="7">
        <v>1</v>
      </c>
      <c r="G7"/>
      <c r="H7"/>
      <c r="I7" s="6" t="s">
        <v>38</v>
      </c>
      <c r="J7" s="10">
        <v>4.2919095285150126</v>
      </c>
      <c r="K7"/>
    </row>
    <row r="8" spans="3:11" ht="14.4" x14ac:dyDescent="0.3">
      <c r="E8" s="6" t="s">
        <v>10</v>
      </c>
      <c r="F8" s="7">
        <v>1</v>
      </c>
      <c r="G8"/>
      <c r="H8"/>
      <c r="I8" s="6" t="s">
        <v>19</v>
      </c>
      <c r="J8" s="10">
        <v>19.371944474312134</v>
      </c>
      <c r="K8"/>
    </row>
    <row r="9" spans="3:11" ht="14.4" x14ac:dyDescent="0.3">
      <c r="E9" s="8" t="s">
        <v>25</v>
      </c>
      <c r="F9" s="7">
        <v>1</v>
      </c>
      <c r="G9"/>
      <c r="H9"/>
      <c r="I9"/>
      <c r="J9"/>
      <c r="K9"/>
    </row>
    <row r="10" spans="3:11" ht="14.4" x14ac:dyDescent="0.3">
      <c r="E10" s="6" t="s">
        <v>13</v>
      </c>
      <c r="F10" s="7">
        <v>1</v>
      </c>
      <c r="G10"/>
      <c r="H10"/>
      <c r="I10"/>
      <c r="J10"/>
      <c r="K10"/>
    </row>
    <row r="11" spans="3:11" ht="14.4" x14ac:dyDescent="0.3">
      <c r="E11" s="8" t="s">
        <v>33</v>
      </c>
      <c r="F11" s="7">
        <v>1</v>
      </c>
      <c r="G11"/>
      <c r="H11"/>
      <c r="I11"/>
      <c r="J11"/>
      <c r="K11"/>
    </row>
    <row r="12" spans="3:11" ht="14.4" x14ac:dyDescent="0.3">
      <c r="E12" s="6" t="s">
        <v>12</v>
      </c>
      <c r="F12" s="7">
        <v>1</v>
      </c>
      <c r="G12"/>
      <c r="H12"/>
      <c r="I12"/>
      <c r="J12"/>
      <c r="K12"/>
    </row>
    <row r="13" spans="3:11" ht="14.4" x14ac:dyDescent="0.3">
      <c r="E13" s="8" t="s">
        <v>30</v>
      </c>
      <c r="F13" s="7">
        <v>1</v>
      </c>
      <c r="G13"/>
      <c r="H13"/>
      <c r="I13"/>
      <c r="J13"/>
      <c r="K13"/>
    </row>
    <row r="14" spans="3:11" ht="14.4" x14ac:dyDescent="0.3">
      <c r="E14" s="6" t="s">
        <v>19</v>
      </c>
      <c r="F14" s="7">
        <v>4</v>
      </c>
      <c r="G14"/>
      <c r="H14"/>
      <c r="I14"/>
      <c r="J14"/>
      <c r="K14"/>
    </row>
    <row r="15" spans="3:11" ht="14.4" x14ac:dyDescent="0.3">
      <c r="E15"/>
      <c r="F15"/>
      <c r="G15"/>
      <c r="H15"/>
      <c r="I15"/>
      <c r="J15"/>
      <c r="K15"/>
    </row>
    <row r="16" spans="3:11" ht="14.4" x14ac:dyDescent="0.3">
      <c r="E16"/>
      <c r="F16"/>
      <c r="G16"/>
      <c r="H16"/>
      <c r="I16"/>
      <c r="J16"/>
      <c r="K16"/>
    </row>
    <row r="17" spans="5:11" ht="14.4" x14ac:dyDescent="0.3">
      <c r="E17"/>
      <c r="F17"/>
      <c r="G17"/>
      <c r="H17"/>
      <c r="I17"/>
      <c r="J17"/>
      <c r="K17"/>
    </row>
    <row r="18" spans="5:11" ht="14.4" x14ac:dyDescent="0.3">
      <c r="E18"/>
      <c r="F18"/>
      <c r="G18"/>
      <c r="H18"/>
      <c r="I18"/>
      <c r="J18"/>
      <c r="K18"/>
    </row>
    <row r="19" spans="5:11" ht="14.4" x14ac:dyDescent="0.3">
      <c r="E19"/>
      <c r="F19"/>
      <c r="G19"/>
      <c r="H19"/>
      <c r="I19"/>
      <c r="J19"/>
      <c r="K19"/>
    </row>
    <row r="20" spans="5:11" ht="14.4" x14ac:dyDescent="0.3">
      <c r="E20"/>
      <c r="F20"/>
      <c r="G20"/>
      <c r="H20"/>
      <c r="I20"/>
      <c r="J20"/>
      <c r="K20"/>
    </row>
    <row r="21" spans="5:11" ht="14.4" x14ac:dyDescent="0.3">
      <c r="E21"/>
      <c r="F21"/>
      <c r="G21"/>
      <c r="H21"/>
      <c r="I21"/>
      <c r="J21"/>
      <c r="K21"/>
    </row>
    <row r="22" spans="5:11" ht="14.4" x14ac:dyDescent="0.3">
      <c r="E22"/>
      <c r="F22"/>
      <c r="G22"/>
      <c r="H22"/>
      <c r="I22"/>
      <c r="J22"/>
      <c r="K22"/>
    </row>
    <row r="23" spans="5:11" ht="14.4" x14ac:dyDescent="0.3">
      <c r="E23"/>
      <c r="F23"/>
    </row>
    <row r="24" spans="5:11" ht="14.4" x14ac:dyDescent="0.3">
      <c r="E24"/>
      <c r="F24"/>
    </row>
    <row r="25" spans="5:11" ht="14.4" x14ac:dyDescent="0.3">
      <c r="E25"/>
      <c r="F25"/>
    </row>
    <row r="26" spans="5:11" ht="14.4" x14ac:dyDescent="0.3">
      <c r="E26"/>
      <c r="F26"/>
    </row>
    <row r="27" spans="5:11" ht="14.4" x14ac:dyDescent="0.3">
      <c r="E27"/>
      <c r="F27"/>
    </row>
    <row r="28" spans="5:11" ht="14.4" x14ac:dyDescent="0.3">
      <c r="E28"/>
      <c r="F28"/>
    </row>
    <row r="29" spans="5:11" ht="14.4" x14ac:dyDescent="0.3">
      <c r="E29"/>
      <c r="F29"/>
    </row>
    <row r="30" spans="5:11" ht="14.4" x14ac:dyDescent="0.3">
      <c r="E30"/>
      <c r="F30"/>
    </row>
    <row r="31" spans="5:11" ht="14.4" x14ac:dyDescent="0.3">
      <c r="E31"/>
      <c r="F31"/>
    </row>
    <row r="32" spans="5:11" ht="14.4" x14ac:dyDescent="0.3">
      <c r="E32"/>
      <c r="F32"/>
    </row>
    <row r="33" spans="5:6" ht="14.4" x14ac:dyDescent="0.3">
      <c r="E33"/>
      <c r="F33"/>
    </row>
    <row r="34" spans="5:6" ht="14.4" x14ac:dyDescent="0.3">
      <c r="E34"/>
      <c r="F34"/>
    </row>
    <row r="35" spans="5:6" ht="14.4" x14ac:dyDescent="0.3">
      <c r="E35"/>
      <c r="F35"/>
    </row>
    <row r="36" spans="5:6" ht="14.4" x14ac:dyDescent="0.3">
      <c r="E36"/>
      <c r="F36"/>
    </row>
    <row r="37" spans="5:6" ht="14.4" x14ac:dyDescent="0.3">
      <c r="E37"/>
      <c r="F37"/>
    </row>
    <row r="38" spans="5:6" ht="14.4" x14ac:dyDescent="0.3">
      <c r="E38"/>
      <c r="F38"/>
    </row>
    <row r="39" spans="5:6" ht="14.4" x14ac:dyDescent="0.3">
      <c r="E39"/>
      <c r="F39"/>
    </row>
    <row r="40" spans="5:6" ht="14.4" x14ac:dyDescent="0.3">
      <c r="E40"/>
      <c r="F40"/>
    </row>
    <row r="41" spans="5:6" ht="14.4" x14ac:dyDescent="0.3">
      <c r="E41"/>
      <c r="F41"/>
    </row>
    <row r="42" spans="5:6" ht="14.4" x14ac:dyDescent="0.3">
      <c r="E42"/>
      <c r="F42"/>
    </row>
    <row r="43" spans="5:6" ht="14.4" x14ac:dyDescent="0.3">
      <c r="E43"/>
      <c r="F43"/>
    </row>
    <row r="44" spans="5:6" ht="14.4" x14ac:dyDescent="0.3">
      <c r="E44"/>
      <c r="F44"/>
    </row>
    <row r="45" spans="5:6" ht="14.4" x14ac:dyDescent="0.3">
      <c r="E45"/>
      <c r="F45"/>
    </row>
    <row r="46" spans="5:6" ht="14.4" x14ac:dyDescent="0.3">
      <c r="E46"/>
      <c r="F46"/>
    </row>
    <row r="47" spans="5:6" ht="14.4" x14ac:dyDescent="0.3">
      <c r="E47"/>
      <c r="F47"/>
    </row>
    <row r="48" spans="5:6" ht="14.4" x14ac:dyDescent="0.3">
      <c r="E48"/>
      <c r="F48"/>
    </row>
    <row r="49" spans="5:6" ht="14.4" x14ac:dyDescent="0.3">
      <c r="E49"/>
      <c r="F49"/>
    </row>
    <row r="50" spans="5:6" ht="14.4" x14ac:dyDescent="0.3">
      <c r="E50"/>
      <c r="F50"/>
    </row>
    <row r="51" spans="5:6" ht="14.4" x14ac:dyDescent="0.3">
      <c r="E51"/>
      <c r="F51"/>
    </row>
    <row r="52" spans="5:6" ht="14.4" x14ac:dyDescent="0.3">
      <c r="E52"/>
      <c r="F52"/>
    </row>
    <row r="53" spans="5:6" ht="14.4" x14ac:dyDescent="0.3">
      <c r="E53"/>
      <c r="F53"/>
    </row>
    <row r="54" spans="5:6" ht="14.4" x14ac:dyDescent="0.3">
      <c r="E54"/>
      <c r="F54"/>
    </row>
    <row r="55" spans="5:6" ht="14.4" x14ac:dyDescent="0.3">
      <c r="E55"/>
      <c r="F55"/>
    </row>
    <row r="56" spans="5:6" ht="14.4" x14ac:dyDescent="0.3">
      <c r="E56"/>
      <c r="F56"/>
    </row>
    <row r="57" spans="5:6" ht="14.4" x14ac:dyDescent="0.3">
      <c r="E57"/>
      <c r="F57"/>
    </row>
    <row r="58" spans="5:6" ht="14.4" x14ac:dyDescent="0.3">
      <c r="E58"/>
      <c r="F58"/>
    </row>
    <row r="59" spans="5:6" ht="14.4" x14ac:dyDescent="0.3">
      <c r="E59"/>
      <c r="F59"/>
    </row>
    <row r="60" spans="5:6" ht="14.4" x14ac:dyDescent="0.3">
      <c r="E60"/>
      <c r="F60"/>
    </row>
    <row r="61" spans="5:6" ht="14.4" x14ac:dyDescent="0.3">
      <c r="E61"/>
      <c r="F61"/>
    </row>
    <row r="62" spans="5:6" ht="14.4" x14ac:dyDescent="0.3">
      <c r="E62"/>
      <c r="F62"/>
    </row>
    <row r="63" spans="5:6" ht="14.4" x14ac:dyDescent="0.3">
      <c r="E63"/>
      <c r="F63"/>
    </row>
    <row r="64" spans="5:6" ht="14.4" x14ac:dyDescent="0.3">
      <c r="E64"/>
      <c r="F64"/>
    </row>
    <row r="65" spans="3:6" ht="14.4" x14ac:dyDescent="0.3">
      <c r="C65"/>
      <c r="D65"/>
      <c r="E65"/>
      <c r="F65"/>
    </row>
    <row r="66" spans="3:6" ht="14.4" x14ac:dyDescent="0.3">
      <c r="C66"/>
      <c r="D66"/>
      <c r="E66"/>
      <c r="F66"/>
    </row>
    <row r="67" spans="3:6" ht="14.4" x14ac:dyDescent="0.3">
      <c r="C67"/>
      <c r="D67"/>
      <c r="E67"/>
      <c r="F67"/>
    </row>
    <row r="68" spans="3:6" ht="14.4" x14ac:dyDescent="0.3">
      <c r="C68"/>
      <c r="D68"/>
      <c r="E68"/>
      <c r="F68"/>
    </row>
    <row r="69" spans="3:6" ht="14.4" x14ac:dyDescent="0.3">
      <c r="C69"/>
      <c r="D69"/>
      <c r="E69"/>
      <c r="F69"/>
    </row>
    <row r="70" spans="3:6" ht="14.4" x14ac:dyDescent="0.3">
      <c r="C70"/>
      <c r="D70"/>
      <c r="E70"/>
      <c r="F70"/>
    </row>
    <row r="71" spans="3:6" ht="14.4" x14ac:dyDescent="0.3">
      <c r="C71"/>
      <c r="D71"/>
      <c r="E71"/>
      <c r="F71"/>
    </row>
    <row r="72" spans="3:6" ht="14.4" x14ac:dyDescent="0.3">
      <c r="C72"/>
      <c r="D72"/>
      <c r="E72"/>
      <c r="F72"/>
    </row>
    <row r="73" spans="3:6" ht="14.4" x14ac:dyDescent="0.3">
      <c r="C73"/>
      <c r="D73"/>
      <c r="E73"/>
      <c r="F73"/>
    </row>
    <row r="74" spans="3:6" ht="14.4" x14ac:dyDescent="0.3">
      <c r="C74"/>
      <c r="D74"/>
      <c r="E74"/>
      <c r="F74"/>
    </row>
    <row r="75" spans="3:6" ht="14.4" x14ac:dyDescent="0.3">
      <c r="C75"/>
      <c r="D75"/>
      <c r="E75"/>
      <c r="F75"/>
    </row>
    <row r="76" spans="3:6" ht="14.4" x14ac:dyDescent="0.3">
      <c r="C76"/>
      <c r="D76"/>
      <c r="E76"/>
      <c r="F76"/>
    </row>
    <row r="77" spans="3:6" ht="14.4" x14ac:dyDescent="0.3">
      <c r="C77"/>
      <c r="D77"/>
      <c r="E77"/>
      <c r="F77"/>
    </row>
    <row r="78" spans="3:6" ht="14.4" x14ac:dyDescent="0.3">
      <c r="C78"/>
      <c r="D78"/>
      <c r="E78"/>
      <c r="F78"/>
    </row>
    <row r="79" spans="3:6" ht="14.4" x14ac:dyDescent="0.3">
      <c r="C79"/>
      <c r="D79"/>
      <c r="E79"/>
      <c r="F79"/>
    </row>
    <row r="80" spans="3:6" ht="14.4" x14ac:dyDescent="0.3">
      <c r="C80"/>
      <c r="D80"/>
      <c r="E80"/>
      <c r="F80"/>
    </row>
    <row r="81" spans="3:6" ht="14.4" x14ac:dyDescent="0.3">
      <c r="C81"/>
      <c r="D81"/>
      <c r="E81"/>
      <c r="F81"/>
    </row>
    <row r="82" spans="3:6" ht="14.4" x14ac:dyDescent="0.3">
      <c r="C82"/>
      <c r="D82"/>
      <c r="E82"/>
      <c r="F82"/>
    </row>
    <row r="83" spans="3:6" ht="14.4" x14ac:dyDescent="0.3">
      <c r="C83"/>
      <c r="D83"/>
      <c r="E83"/>
      <c r="F83"/>
    </row>
    <row r="84" spans="3:6" ht="14.4" x14ac:dyDescent="0.3">
      <c r="C84"/>
      <c r="D84"/>
      <c r="E84"/>
      <c r="F84"/>
    </row>
    <row r="85" spans="3:6" ht="14.4" x14ac:dyDescent="0.3">
      <c r="C85"/>
      <c r="D85"/>
      <c r="E85"/>
      <c r="F85"/>
    </row>
    <row r="86" spans="3:6" ht="14.4" x14ac:dyDescent="0.3">
      <c r="C86"/>
      <c r="D86"/>
      <c r="E86"/>
      <c r="F86"/>
    </row>
    <row r="87" spans="3:6" ht="14.4" x14ac:dyDescent="0.3">
      <c r="C87"/>
      <c r="D87"/>
      <c r="E87"/>
      <c r="F87"/>
    </row>
    <row r="88" spans="3:6" ht="14.4" x14ac:dyDescent="0.3">
      <c r="C88"/>
      <c r="D88"/>
      <c r="E88"/>
      <c r="F88"/>
    </row>
    <row r="89" spans="3:6" ht="14.4" x14ac:dyDescent="0.3">
      <c r="C89"/>
      <c r="D89"/>
      <c r="E89"/>
      <c r="F89"/>
    </row>
    <row r="90" spans="3:6" ht="14.4" x14ac:dyDescent="0.3">
      <c r="C90"/>
      <c r="D90"/>
      <c r="E90"/>
      <c r="F90"/>
    </row>
    <row r="91" spans="3:6" ht="14.4" x14ac:dyDescent="0.3">
      <c r="C91"/>
      <c r="D91"/>
      <c r="E91"/>
      <c r="F91"/>
    </row>
    <row r="92" spans="3:6" ht="14.4" x14ac:dyDescent="0.3">
      <c r="C92"/>
      <c r="D92"/>
      <c r="E92"/>
      <c r="F92"/>
    </row>
    <row r="93" spans="3:6" ht="14.4" x14ac:dyDescent="0.3">
      <c r="C93"/>
      <c r="D93"/>
      <c r="E93"/>
      <c r="F93"/>
    </row>
    <row r="94" spans="3:6" ht="14.4" x14ac:dyDescent="0.3">
      <c r="C94"/>
      <c r="D94"/>
      <c r="E94"/>
      <c r="F94"/>
    </row>
    <row r="95" spans="3:6" ht="14.4" x14ac:dyDescent="0.3">
      <c r="C95"/>
      <c r="D95"/>
      <c r="E95"/>
      <c r="F95"/>
    </row>
    <row r="96" spans="3:6" ht="14.4" x14ac:dyDescent="0.3">
      <c r="C96"/>
      <c r="D96"/>
      <c r="E96"/>
      <c r="F96"/>
    </row>
    <row r="97" spans="3:6" ht="14.4" x14ac:dyDescent="0.3">
      <c r="C97"/>
      <c r="D97"/>
      <c r="E97"/>
      <c r="F97"/>
    </row>
    <row r="98" spans="3:6" ht="14.4" x14ac:dyDescent="0.3">
      <c r="C98"/>
      <c r="D98"/>
      <c r="E98"/>
      <c r="F98"/>
    </row>
    <row r="99" spans="3:6" ht="14.4" x14ac:dyDescent="0.3">
      <c r="C99"/>
      <c r="D99"/>
      <c r="E99"/>
      <c r="F99"/>
    </row>
    <row r="100" spans="3:6" ht="14.4" x14ac:dyDescent="0.3">
      <c r="C100"/>
      <c r="D100"/>
      <c r="E100"/>
      <c r="F100"/>
    </row>
    <row r="101" spans="3:6" ht="14.4" x14ac:dyDescent="0.3">
      <c r="C101"/>
      <c r="D101"/>
      <c r="E101"/>
      <c r="F101"/>
    </row>
    <row r="102" spans="3:6" ht="14.4" x14ac:dyDescent="0.3">
      <c r="C102"/>
      <c r="D102"/>
    </row>
    <row r="103" spans="3:6" ht="14.4" x14ac:dyDescent="0.3">
      <c r="C103"/>
      <c r="D103"/>
    </row>
    <row r="104" spans="3:6" ht="14.4" x14ac:dyDescent="0.3">
      <c r="C104"/>
      <c r="D104"/>
    </row>
    <row r="105" spans="3:6" ht="14.4" x14ac:dyDescent="0.3">
      <c r="C105"/>
      <c r="D105"/>
    </row>
    <row r="106" spans="3:6" ht="14.4" x14ac:dyDescent="0.3">
      <c r="C106"/>
      <c r="D106"/>
    </row>
    <row r="107" spans="3:6" ht="14.4" x14ac:dyDescent="0.3">
      <c r="C107"/>
      <c r="D107"/>
    </row>
    <row r="108" spans="3:6" ht="14.4" x14ac:dyDescent="0.3">
      <c r="C108"/>
      <c r="D108"/>
    </row>
    <row r="109" spans="3:6" ht="14.4" x14ac:dyDescent="0.3">
      <c r="C109"/>
      <c r="D109"/>
    </row>
    <row r="110" spans="3:6" ht="14.4" x14ac:dyDescent="0.3">
      <c r="C110"/>
      <c r="D110"/>
    </row>
    <row r="111" spans="3:6" ht="14.4" x14ac:dyDescent="0.3">
      <c r="C111"/>
      <c r="D111"/>
    </row>
    <row r="112" spans="3:6" ht="14.4" x14ac:dyDescent="0.3">
      <c r="C112"/>
      <c r="D112"/>
    </row>
    <row r="113" spans="3:4" ht="14.4" x14ac:dyDescent="0.3">
      <c r="C113"/>
      <c r="D113"/>
    </row>
    <row r="114" spans="3:4" ht="14.4" x14ac:dyDescent="0.3">
      <c r="C114"/>
      <c r="D114"/>
    </row>
    <row r="115" spans="3:4" ht="14.4" x14ac:dyDescent="0.3">
      <c r="C115"/>
      <c r="D115"/>
    </row>
    <row r="116" spans="3:4" ht="14.4" x14ac:dyDescent="0.3">
      <c r="C116"/>
      <c r="D116"/>
    </row>
    <row r="117" spans="3:4" ht="14.4" x14ac:dyDescent="0.3">
      <c r="C117"/>
      <c r="D117"/>
    </row>
    <row r="118" spans="3:4" ht="14.4" x14ac:dyDescent="0.3">
      <c r="C118"/>
      <c r="D118"/>
    </row>
    <row r="119" spans="3:4" ht="14.4" x14ac:dyDescent="0.3">
      <c r="C119"/>
      <c r="D119"/>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E8958-A0E7-4CAD-A765-95AD5F8D5325}">
  <dimension ref="A1:J6"/>
  <sheetViews>
    <sheetView showGridLines="0" workbookViewId="0">
      <selection activeCell="K4" sqref="K4"/>
    </sheetView>
  </sheetViews>
  <sheetFormatPr baseColWidth="10" defaultRowHeight="14.4" x14ac:dyDescent="0.3"/>
  <cols>
    <col min="1" max="1" width="5.44140625" bestFit="1" customWidth="1"/>
    <col min="2" max="2" width="16.6640625" bestFit="1" customWidth="1"/>
    <col min="3" max="4" width="13.5546875" bestFit="1" customWidth="1"/>
    <col min="5" max="5" width="15" bestFit="1" customWidth="1"/>
    <col min="6" max="6" width="10.21875" bestFit="1" customWidth="1"/>
    <col min="7" max="7" width="22.5546875" bestFit="1" customWidth="1"/>
    <col min="8" max="8" width="71.44140625" bestFit="1" customWidth="1"/>
    <col min="9" max="9" width="13.88671875" bestFit="1" customWidth="1"/>
    <col min="10" max="10" width="12" customWidth="1"/>
    <col min="11" max="11" width="20.77734375" bestFit="1" customWidth="1"/>
    <col min="12" max="12" width="17.21875" bestFit="1" customWidth="1"/>
  </cols>
  <sheetData>
    <row r="1" spans="1:10" x14ac:dyDescent="0.3">
      <c r="A1" t="s">
        <v>0</v>
      </c>
      <c r="B1" t="s">
        <v>1</v>
      </c>
      <c r="C1" t="s">
        <v>2</v>
      </c>
      <c r="D1" t="s">
        <v>3</v>
      </c>
      <c r="E1" t="s">
        <v>4</v>
      </c>
      <c r="F1" t="s">
        <v>23</v>
      </c>
      <c r="G1" t="s">
        <v>5</v>
      </c>
      <c r="H1" t="s">
        <v>6</v>
      </c>
      <c r="I1" t="s">
        <v>14</v>
      </c>
      <c r="J1" t="s">
        <v>16</v>
      </c>
    </row>
    <row r="2" spans="1:10" x14ac:dyDescent="0.3">
      <c r="A2">
        <v>5</v>
      </c>
      <c r="B2" s="2" t="s">
        <v>12</v>
      </c>
      <c r="C2">
        <v>80</v>
      </c>
      <c r="D2">
        <v>25</v>
      </c>
      <c r="G2" s="2" t="s">
        <v>28</v>
      </c>
      <c r="H2" s="2" t="s">
        <v>29</v>
      </c>
      <c r="I2" t="s">
        <v>30</v>
      </c>
      <c r="J2">
        <v>80.025000000000006</v>
      </c>
    </row>
    <row r="3" spans="1:10" x14ac:dyDescent="0.3">
      <c r="A3">
        <v>13</v>
      </c>
      <c r="B3" s="2" t="s">
        <v>13</v>
      </c>
      <c r="C3">
        <v>40</v>
      </c>
      <c r="D3">
        <v>32</v>
      </c>
      <c r="G3" s="2" t="s">
        <v>31</v>
      </c>
      <c r="H3" s="2" t="s">
        <v>32</v>
      </c>
      <c r="I3" t="s">
        <v>33</v>
      </c>
      <c r="J3">
        <v>40.031999999999996</v>
      </c>
    </row>
    <row r="4" spans="1:10" x14ac:dyDescent="0.3">
      <c r="A4">
        <v>1</v>
      </c>
      <c r="B4" s="2" t="s">
        <v>7</v>
      </c>
      <c r="C4">
        <v>32</v>
      </c>
      <c r="D4">
        <v>20</v>
      </c>
      <c r="G4" s="2" t="s">
        <v>8</v>
      </c>
      <c r="H4" s="2" t="s">
        <v>9</v>
      </c>
      <c r="I4" t="s">
        <v>17</v>
      </c>
      <c r="J4">
        <v>32.020000000000003</v>
      </c>
    </row>
    <row r="5" spans="1:10" x14ac:dyDescent="0.3">
      <c r="A5">
        <v>2</v>
      </c>
      <c r="B5" s="2" t="s">
        <v>10</v>
      </c>
      <c r="C5">
        <v>25</v>
      </c>
      <c r="F5">
        <v>90.313059999999993</v>
      </c>
      <c r="G5" s="2" t="s">
        <v>24</v>
      </c>
      <c r="H5" s="2"/>
      <c r="I5" t="s">
        <v>25</v>
      </c>
      <c r="J5">
        <v>25</v>
      </c>
    </row>
    <row r="6" spans="1:10" x14ac:dyDescent="0.3">
      <c r="A6">
        <v>3</v>
      </c>
      <c r="B6" s="2" t="s">
        <v>11</v>
      </c>
      <c r="C6">
        <v>25</v>
      </c>
      <c r="E6">
        <v>42</v>
      </c>
      <c r="G6" s="2" t="s">
        <v>24</v>
      </c>
      <c r="H6" s="2" t="s">
        <v>26</v>
      </c>
      <c r="I6" t="s">
        <v>27</v>
      </c>
      <c r="J6">
        <v>25</v>
      </c>
    </row>
  </sheetData>
  <phoneticPr fontId="2" type="noConversion"/>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E9372-6B01-4373-915B-DDE527BEDC95}">
  <dimension ref="A1:H3"/>
  <sheetViews>
    <sheetView showGridLines="0" workbookViewId="0">
      <selection activeCell="J6" sqref="J6"/>
    </sheetView>
  </sheetViews>
  <sheetFormatPr baseColWidth="10" defaultRowHeight="14.4" x14ac:dyDescent="0.3"/>
  <cols>
    <col min="1" max="1" width="5.44140625" bestFit="1" customWidth="1"/>
    <col min="2" max="2" width="11.88671875" bestFit="1" customWidth="1"/>
    <col min="3" max="3" width="19.109375" bestFit="1" customWidth="1"/>
    <col min="4" max="4" width="17.109375" bestFit="1" customWidth="1"/>
    <col min="5" max="5" width="14.109375" bestFit="1" customWidth="1"/>
    <col min="6" max="6" width="14.21875" bestFit="1" customWidth="1"/>
    <col min="7" max="7" width="13.88671875" bestFit="1" customWidth="1"/>
    <col min="8" max="8" width="12" bestFit="1" customWidth="1"/>
    <col min="9" max="9" width="13.88671875" bestFit="1" customWidth="1"/>
    <col min="10" max="10" width="14.88671875" bestFit="1" customWidth="1"/>
    <col min="11" max="11" width="14.109375" bestFit="1" customWidth="1"/>
    <col min="12" max="12" width="13.88671875" bestFit="1" customWidth="1"/>
  </cols>
  <sheetData>
    <row r="1" spans="1:8" x14ac:dyDescent="0.3">
      <c r="A1" t="s">
        <v>0</v>
      </c>
      <c r="B1" t="s">
        <v>34</v>
      </c>
      <c r="C1" t="s">
        <v>39</v>
      </c>
      <c r="D1" t="s">
        <v>35</v>
      </c>
      <c r="E1" t="s">
        <v>20</v>
      </c>
      <c r="F1" t="s">
        <v>1</v>
      </c>
      <c r="G1" t="s">
        <v>14</v>
      </c>
      <c r="H1" t="s">
        <v>16</v>
      </c>
    </row>
    <row r="2" spans="1:8" x14ac:dyDescent="0.3">
      <c r="A2">
        <v>1</v>
      </c>
      <c r="B2">
        <v>613</v>
      </c>
      <c r="C2">
        <v>25</v>
      </c>
      <c r="D2">
        <v>90.313059999999993</v>
      </c>
      <c r="E2">
        <v>15.08003494579712</v>
      </c>
      <c r="F2" t="s">
        <v>36</v>
      </c>
      <c r="H2" t="s">
        <v>25</v>
      </c>
    </row>
    <row r="3" spans="1:8" x14ac:dyDescent="0.3">
      <c r="A3">
        <v>2</v>
      </c>
      <c r="B3">
        <v>612</v>
      </c>
      <c r="C3">
        <v>80</v>
      </c>
      <c r="D3">
        <v>63.31353</v>
      </c>
      <c r="E3">
        <v>4.2919095285150126</v>
      </c>
      <c r="F3" t="s">
        <v>37</v>
      </c>
      <c r="H3" t="s">
        <v>38</v>
      </c>
    </row>
  </sheetData>
  <phoneticPr fontId="2" type="noConversion"/>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3421D5C-5A49-4F06-8F41-9C7551299D08}">
  <ds:schemaRefs/>
</ds:datastoreItem>
</file>

<file path=customXml/itemProps2.xml><?xml version="1.0" encoding="utf-8"?>
<ds:datastoreItem xmlns:ds="http://schemas.openxmlformats.org/officeDocument/2006/customXml" ds:itemID="{A2C3F8D4-D4FA-4559-AEE6-10E6216B4EA0}">
  <ds:schemaRefs/>
</ds:datastoreItem>
</file>

<file path=customXml/itemProps3.xml><?xml version="1.0" encoding="utf-8"?>
<ds:datastoreItem xmlns:ds="http://schemas.openxmlformats.org/officeDocument/2006/customXml" ds:itemID="{A0140209-EB40-4519-96B2-848F66AC6F84}">
  <ds:schemaRefs/>
</ds:datastoreItem>
</file>

<file path=customXml/itemProps4.xml><?xml version="1.0" encoding="utf-8"?>
<ds:datastoreItem xmlns:ds="http://schemas.openxmlformats.org/officeDocument/2006/customXml" ds:itemID="{8171F81E-572E-40BB-BDA0-CFFF13837246}">
  <ds:schemaRefs/>
</ds:datastoreItem>
</file>

<file path=customXml/itemProps5.xml><?xml version="1.0" encoding="utf-8"?>
<ds:datastoreItem xmlns:ds="http://schemas.openxmlformats.org/officeDocument/2006/customXml" ds:itemID="{DEB0182D-5E72-44E7-BFEA-83BC3C53205D}">
  <ds:schemaRefs/>
</ds:datastoreItem>
</file>

<file path=customXml/itemProps6.xml><?xml version="1.0" encoding="utf-8"?>
<ds:datastoreItem xmlns:ds="http://schemas.openxmlformats.org/officeDocument/2006/customXml" ds:itemID="{45003E40-8F4B-45B4-81C6-3490910C2050}">
  <ds:schemaRefs/>
</ds:datastoreItem>
</file>

<file path=customXml/itemProps7.xml><?xml version="1.0" encoding="utf-8"?>
<ds:datastoreItem xmlns:ds="http://schemas.openxmlformats.org/officeDocument/2006/customXml" ds:itemID="{A3B3088F-280D-4E72-B199-43E39377D884}">
  <ds:schemaRefs/>
</ds:datastoreItem>
</file>

<file path=customXml/itemProps8.xml><?xml version="1.0" encoding="utf-8"?>
<ds:datastoreItem xmlns:ds="http://schemas.openxmlformats.org/officeDocument/2006/customXml" ds:itemID="{B1F230B9-0F0D-4C65-A33C-4A1B68528486}">
  <ds:schemaRefs/>
</ds:datastoreItem>
</file>

<file path=customXml/itemProps9.xml><?xml version="1.0" encoding="utf-8"?>
<ds:datastoreItem xmlns:ds="http://schemas.openxmlformats.org/officeDocument/2006/customXml" ds:itemID="{CD52E269-F1BA-4B34-9580-315BCA6E6CC2}">
  <ds:schemaRefs/>
</ds:datastoreItem>
</file>

<file path=customXml/itemProps10.xml><?xml version="1.0" encoding="utf-8"?>
<ds:datastoreItem xmlns:ds="http://schemas.openxmlformats.org/officeDocument/2006/customXml" ds:itemID="{75C65D15-D6E4-4068-815C-20FEBBABF9E9}">
  <ds:schemaRefs/>
</ds:datastoreItem>
</file>

<file path=customXml/itemProps11.xml><?xml version="1.0" encoding="utf-8"?>
<ds:datastoreItem xmlns:ds="http://schemas.openxmlformats.org/officeDocument/2006/customXml" ds:itemID="{6A22D036-01C0-47F8-8D32-7A5B29B6970A}">
  <ds:schemaRefs/>
</ds:datastoreItem>
</file>

<file path=customXml/itemProps12.xml><?xml version="1.0" encoding="utf-8"?>
<ds:datastoreItem xmlns:ds="http://schemas.openxmlformats.org/officeDocument/2006/customXml" ds:itemID="{5F19E334-AD48-4C9E-8AE5-40165DE035B7}">
  <ds:schemaRefs/>
</ds:datastoreItem>
</file>

<file path=customXml/itemProps13.xml><?xml version="1.0" encoding="utf-8"?>
<ds:datastoreItem xmlns:ds="http://schemas.openxmlformats.org/officeDocument/2006/customXml" ds:itemID="{430C2723-DD5F-48BD-9A16-AD9A7506F57E}">
  <ds:schemaRefs/>
</ds:datastoreItem>
</file>

<file path=customXml/itemProps14.xml><?xml version="1.0" encoding="utf-8"?>
<ds:datastoreItem xmlns:ds="http://schemas.openxmlformats.org/officeDocument/2006/customXml" ds:itemID="{30A2B1D3-8D38-4ECC-851D-5E3083453FFD}">
  <ds:schemaRefs/>
</ds:datastoreItem>
</file>

<file path=customXml/itemProps15.xml><?xml version="1.0" encoding="utf-8"?>
<ds:datastoreItem xmlns:ds="http://schemas.openxmlformats.org/officeDocument/2006/customXml" ds:itemID="{6423748E-4C33-404A-979A-DFE8A38C4860}">
  <ds:schemaRefs/>
</ds:datastoreItem>
</file>

<file path=customXml/itemProps16.xml><?xml version="1.0" encoding="utf-8"?>
<ds:datastoreItem xmlns:ds="http://schemas.openxmlformats.org/officeDocument/2006/customXml" ds:itemID="{AFAA1BD1-8897-49A4-B987-0F48F89D4438}">
  <ds:schemaRefs/>
</ds:datastoreItem>
</file>

<file path=customXml/itemProps17.xml><?xml version="1.0" encoding="utf-8"?>
<ds:datastoreItem xmlns:ds="http://schemas.openxmlformats.org/officeDocument/2006/customXml" ds:itemID="{7E3B2106-7197-4E4C-A4CD-99EE29295F75}">
  <ds:schemaRefs/>
</ds:datastoreItem>
</file>

<file path=customXml/itemProps18.xml><?xml version="1.0" encoding="utf-8"?>
<ds:datastoreItem xmlns:ds="http://schemas.openxmlformats.org/officeDocument/2006/customXml" ds:itemID="{7372AB99-5395-47B4-A068-67FBE160B8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1</vt:i4>
      </vt:variant>
    </vt:vector>
  </HeadingPairs>
  <TitlesOfParts>
    <vt:vector size="4" baseType="lpstr">
      <vt:lpstr>Zusammenfassung</vt:lpstr>
      <vt:lpstr>Formteile</vt:lpstr>
      <vt:lpstr>Leitungstrassen</vt:lpstr>
      <vt:lpstr>Pfadinfo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 Ludwig</dc:creator>
  <cp:lastModifiedBy>Florian Ludwig</cp:lastModifiedBy>
  <dcterms:created xsi:type="dcterms:W3CDTF">2015-06-05T18:19:34Z</dcterms:created>
  <dcterms:modified xsi:type="dcterms:W3CDTF">2026-02-10T11:43:10Z</dcterms:modified>
</cp:coreProperties>
</file>